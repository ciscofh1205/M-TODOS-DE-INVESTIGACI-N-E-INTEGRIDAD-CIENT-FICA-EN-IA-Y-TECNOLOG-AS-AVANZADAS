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ERSONAL\Doctorado\Ciclo_1\MÉTODOS DE INVESTIGACIÓN E INTEGRIDAD CIENTÍFICA EN IA Y TECNOLOGÍAS AVANZADAS\Sesion_6\Entregable\"/>
    </mc:Choice>
  </mc:AlternateContent>
  <xr:revisionPtr revIDLastSave="0" documentId="8_{1CD900EF-48A2-4E48-8EB5-2CDD6509475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Lista de verificación" sheetId="1" r:id="rId1"/>
  </sheets>
  <definedNames>
    <definedName name="_xlnm.Print_Titles" localSheetId="0">'Lista de verificación'!$12:$12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1" l="1"/>
  <c r="E26" i="1"/>
  <c r="E25" i="1"/>
  <c r="E24" i="1"/>
  <c r="E21" i="1"/>
  <c r="E20" i="1"/>
  <c r="E19" i="1"/>
  <c r="E18" i="1"/>
  <c r="E17" i="1"/>
  <c r="E16" i="1"/>
  <c r="E15" i="1"/>
  <c r="E14" i="1"/>
  <c r="E13" i="1"/>
  <c r="E28" i="1" l="1"/>
  <c r="E29" i="1" s="1"/>
  <c r="E30" i="1" s="1"/>
</calcChain>
</file>

<file path=xl/sharedStrings.xml><?xml version="1.0" encoding="utf-8"?>
<sst xmlns="http://schemas.openxmlformats.org/spreadsheetml/2006/main" count="70" uniqueCount="63">
  <si>
    <t>Tu lista de verificación de reproducibilidad</t>
  </si>
  <si>
    <t>Artículo auditado</t>
  </si>
  <si>
    <t>Avoiding common machine learning pitfalls (Tutorial)</t>
  </si>
  <si>
    <t>Autores y año</t>
  </si>
  <si>
    <t>Lones, M. A. (2024)</t>
  </si>
  <si>
    <t>Revista / conferencia</t>
  </si>
  <si>
    <t>Patterns, vol. 5, art. 101046 (11 de octubre de 2024) · DOI: 10.1016/j.patter.2024.101046</t>
  </si>
  <si>
    <t>Evaluador(a)</t>
  </si>
  <si>
    <t>Henry Francisco Sánchez Parra</t>
  </si>
  <si>
    <t>N°</t>
  </si>
  <si>
    <t>Ítem de la lista</t>
  </si>
  <si>
    <t>Qué buscar</t>
  </si>
  <si>
    <t>Evaluación
(S / P / N)</t>
  </si>
  <si>
    <t>Puntaje</t>
  </si>
  <si>
    <t>Evidencia
(página / sección)</t>
  </si>
  <si>
    <t>Comentarios</t>
  </si>
  <si>
    <t>¿Se reportan las semillas y varias corridas?</t>
  </si>
  <si>
    <t>Media ± DE, no un solo número</t>
  </si>
  <si>
    <t>S</t>
  </si>
  <si>
    <t>p. 8, «Do evaluate a model multiple times».</t>
  </si>
  <si>
    <t>Recomienda entrenar el mismo modelo varias veces con distintas semillas aleatorias y mirar el desempeño promedio, variando también los datos (VC). Pide reportar una medida de dispersión o confianza, como la desviación estándar o el IC 95%. Extiende la advertencia a los LLM en inferencia. No dice de forma explícita que se reporten los valores de semilla usados.</t>
  </si>
  <si>
    <t>¿Se describen las particiones?</t>
  </si>
  <si>
    <t>Tamaños, método, y si hace falta, partición por grupos o temporal</t>
  </si>
  <si>
    <t>p. 2, «Do think about how and where you will use data»; p. 7, «Do use an appropriate test set»; p. 8 (estratificación); p. 10, «Do not ignore temporal dependencies in time-series data».</t>
  </si>
  <si>
    <t>Distingue conjuntos de entrenamiento, validación y prueba, y sugiere varios conjuntos de validación. Pide mantener juntos los datos de un mismo sujeto al partir o en la VC, estratificar cuando hay clases pequeñas y usar VC por bloques en series de tiempo.</t>
  </si>
  <si>
    <t>¿Se revisaron las fugas de datos?</t>
  </si>
  <si>
    <t>Preprocesamiento dentro de los pliegues; sin variables del futuro</t>
  </si>
  <si>
    <t>pp. 3–4, «Do not allow test data to leak into the training process» (Fig. 1); pp. 5–6, feature selection (Fig. 3); p. 8, data augmentation; p. 10, look-ahead bias (Fig. 7); pp. 12–13, stacking.</t>
  </si>
  <si>
    <t>Es uno de los ejes del tutorial: calcular escalado e imputación solo con datos de entrenamiento, hacer la selección de variables dentro de cada pliegue, no aumentar datos antes de partir, evitar el sesgo de anticipación en series de tiempo y evitar fugas al combinar modelos. Recomienda apartar el conjunto de prueba al inicio y usarlo una sola vez.</t>
  </si>
  <si>
    <t>¿El ajuste de hiperparámetros está separado?</t>
  </si>
  <si>
    <t>Conjunto de validación o validación cruzada anidada</t>
  </si>
  <si>
    <t>p. 7, «Do optimize your model’s hyperparameters»; p. 8, «Do avoid sequential overfitting» (Fig. 5); p. 8, VC anidada; p. 8, «Do save some data to evaluate your final model instance».</t>
  </si>
  <si>
    <t>Recomienda una estrategia formal de optimización de hiperparámetros, usar un conjunto de validación (no el de prueba) para elegir modelos, VC anidada («double CV») cuando se ajustan hiperparámetros y reservar datos para evaluar el modelo final una sola vez.</t>
  </si>
  <si>
    <t>¿Se nombra la prueba estadística?</t>
  </si>
  <si>
    <t>Adecuada, y pareada al comparar modelos</t>
  </si>
  <si>
    <t>P</t>
  </si>
  <si>
    <t>p. 12, «Do use statistical tests when comparing models» y «Do correct for multiple comparisons»; p. 13, «Do be careful when reporting statistical significance».</t>
  </si>
  <si>
    <t>Nombra la prueba de McNemar para comparar dos clasificadores, la t de Student y la U de Mann-Whitney para comparar distribuciones de desempeño, y la corrección de Bonferroni. Pero no aborda que las comparaciones sobre los mismos pliegues son pareadas ni que los pliegues se solapan (p. ej., t corregida de Nadeau-Bengio, 5×2cv o Wilcoxon de rangos con signo); la U de Mann-Whitney que sugiere no es una prueba pareada.</t>
  </si>
  <si>
    <t>¿Se reportan el tamaño del efecto y el IC?</t>
  </si>
  <si>
    <t>No solo un valor p</t>
  </si>
  <si>
    <t>p. 13, «Do be careful when reporting statistical significance»; p. 8 (DE o IC 95%).</t>
  </si>
  <si>
    <t>Advierte que con muestras grandes siempre se hallan diferencias significativas aunque sean minúsculas y recomienda medir el tamaño del efecto (d de Cohen o, mejor, Kolmogorov-Smirnov). Sugiere reportar valores p sin umbral y considerar estadística bayesiana. En p. 8 pide DE o IC 95%.</t>
  </si>
  <si>
    <t>¿Hay validación externa?</t>
  </si>
  <si>
    <t>Nuevo sitio, nuevo período o nueva población</t>
  </si>
  <si>
    <t>p. 2; p. 7, «Do use an appropriate test set»; p. 13, «Do report performance in multiple ways»; p. 13, «Do not generalize beyond the data».</t>
  </si>
  <si>
    <t>Advierte que un test tomado del mismo conjunto que el entrenamiento puede no medir la generalidad, recomienda más de un conjunto de prueba y varios datasets, y alerta sobre datos de un solo equipo o condición y sobre los conjuntos «Frankenstein». No usa el término «validación externa», pero cubre la idea.</t>
  </si>
  <si>
    <t>¿Se documenta el cómputo?</t>
  </si>
  <si>
    <t>Hardware, tiempo de ejecución, versiones</t>
  </si>
  <si>
    <t>p. 3, «Do think about how your model will be deployed»; p. 13, «Do be transparent» (MLflow).</t>
  </si>
  <si>
    <t>Menciona costos de energía y huella de carbono, y restricciones de tiempo como factores al elegir el modelo, y sugiere herramientas como MLflow para registrar el flujo de trabajo. No especificado en el texto: recomendación explícita de reportar hardware, tiempo de ejecución o versiones de librerías.</t>
  </si>
  <si>
    <t>¿Están disponibles el código y los datos?</t>
  </si>
  <si>
    <t>Un extraño podría volver a ejecutarlo</t>
  </si>
  <si>
    <t>p. 13, «Do be transparent»; p. 14, «Do use an ML checklist».</t>
  </si>
  <si>
    <t>Recomienda compartir los scripts y los modelos para que otros puedan repetir los experimentos, y remite a Pineau et al. (2021) y a REFORMS. No especificado en el texto: recomendación explícita de compartir los datos. El tutorial, por su naturaleza, no publica código ni datos propios.</t>
  </si>
  <si>
    <t>Resumen</t>
  </si>
  <si>
    <t>Ítems con «Sí»</t>
  </si>
  <si>
    <t>Ítems con «Parcial»</t>
  </si>
  <si>
    <t>Ítems con «No»</t>
  </si>
  <si>
    <t>Ítems sin evaluar</t>
  </si>
  <si>
    <t>Puntaje total (máx. 9)</t>
  </si>
  <si>
    <t>Puntaje: S = 1 · P = 0.5 · N = 0</t>
  </si>
  <si>
    <t>Puntaje porcentual</t>
  </si>
  <si>
    <t>Nivel global de reproducibilidad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</si>
</sst>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charset val="1"/>
    </font>
    <font>
      <b/>
      <sz val="9"/>
      <color rgb="FFF2A93B"/>
      <name val="Arial"/>
      <charset val="1"/>
    </font>
    <font>
      <b/>
      <sz val="18"/>
      <color rgb="FF13233A"/>
      <name val="Arial"/>
      <charset val="1"/>
    </font>
    <font>
      <i/>
      <sz val="10"/>
      <color rgb="FF1F8A80"/>
      <name val="Arial"/>
      <charset val="1"/>
    </font>
    <font>
      <b/>
      <sz val="10"/>
      <color rgb="FF13233A"/>
      <name val="Arial"/>
      <charset val="1"/>
    </font>
    <font>
      <sz val="10"/>
      <name val="Arial"/>
      <charset val="1"/>
    </font>
    <font>
      <i/>
      <sz val="9"/>
      <color rgb="FF5A6B7B"/>
      <name val="Arial"/>
      <charset val="1"/>
    </font>
    <font>
      <b/>
      <i/>
      <sz val="9"/>
      <color rgb="FF8A5A0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b/>
      <sz val="12"/>
      <color rgb="FF13233A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3233A"/>
        <bgColor rgb="FF003366"/>
      </patternFill>
    </fill>
  </fills>
  <borders count="2">
    <border>
      <left/>
      <right/>
      <top/>
      <bottom/>
      <diagonal/>
    </border>
    <border>
      <left style="thin">
        <color rgb="FFD5DCE3"/>
      </left>
      <right style="thin">
        <color rgb="FFD5DCE3"/>
      </right>
      <top style="thin">
        <color rgb="FFD5DCE3"/>
      </top>
      <bottom style="thin">
        <color rgb="FFD5DCE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11" fillId="0" borderId="0" xfId="0" applyFont="1"/>
    <xf numFmtId="1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6" fillId="0" borderId="0" xfId="0" applyFont="1"/>
    <xf numFmtId="9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5" fillId="0" borderId="1" xfId="0" applyFont="1" applyBorder="1"/>
    <xf numFmtId="0" fontId="9" fillId="0" borderId="1" xfId="0" applyFont="1" applyBorder="1"/>
    <xf numFmtId="49" fontId="4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3">
    <dxf>
      <font>
        <b/>
        <color rgb="FFA3302A"/>
        <name val="Arial"/>
        <charset val="1"/>
      </font>
      <fill>
        <patternFill>
          <bgColor rgb="FFF8D3D0"/>
        </patternFill>
      </fill>
    </dxf>
    <dxf>
      <font>
        <b/>
        <color rgb="FF8A5A00"/>
        <name val="Arial"/>
        <charset val="1"/>
      </font>
      <fill>
        <patternFill>
          <bgColor rgb="FFFCE7C4"/>
        </patternFill>
      </fill>
    </dxf>
    <dxf>
      <font>
        <b/>
        <color rgb="FF11665E"/>
        <name val="Arial"/>
        <charset val="1"/>
      </font>
      <fill>
        <patternFill>
          <bgColor rgb="FFCDEB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11665E"/>
      <rgbColor rgb="FFC0C0C0"/>
      <rgbColor rgb="FF808080"/>
      <rgbColor rgb="FF9999FF"/>
      <rgbColor rgb="FF993366"/>
      <rgbColor rgb="FFFFF7D6"/>
      <rgbColor rgb="FFCDEBE7"/>
      <rgbColor rgb="FF660066"/>
      <rgbColor rgb="FFFF8080"/>
      <rgbColor rgb="FF0066CC"/>
      <rgbColor rgb="FFD5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8"/>
      <rgbColor rgb="FFCCFFCC"/>
      <rgbColor rgb="FFFCE7C4"/>
      <rgbColor rgb="FF99CCFF"/>
      <rgbColor rgb="FFFF99CC"/>
      <rgbColor rgb="FFCC99FF"/>
      <rgbColor rgb="FFF8D3D0"/>
      <rgbColor rgb="FF3366FF"/>
      <rgbColor rgb="FF33CCCC"/>
      <rgbColor rgb="FF99CC00"/>
      <rgbColor rgb="FFFFCC00"/>
      <rgbColor rgb="FFF2A93B"/>
      <rgbColor rgb="FFFF6600"/>
      <rgbColor rgb="FF5A6B7B"/>
      <rgbColor rgb="FF969696"/>
      <rgbColor rgb="FF003366"/>
      <rgbColor rgb="FF1F8A80"/>
      <rgbColor rgb="FF003300"/>
      <rgbColor rgb="FF333300"/>
      <rgbColor rgb="FFA3302A"/>
      <rgbColor rgb="FF993366"/>
      <rgbColor rgb="FF333399"/>
      <rgbColor rgb="FF1323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0"/>
  <sheetViews>
    <sheetView showGridLines="0" tabSelected="1" zoomScaleNormal="100" workbookViewId="0">
      <selection activeCell="E30" sqref="E30:F30"/>
    </sheetView>
  </sheetViews>
  <sheetFormatPr baseColWidth="10" defaultColWidth="8.7109375" defaultRowHeight="15" x14ac:dyDescent="0.25"/>
  <cols>
    <col min="1" max="1" width="5" customWidth="1"/>
    <col min="2" max="2" width="40" customWidth="1"/>
    <col min="3" max="3" width="46" customWidth="1"/>
    <col min="4" max="4" width="13" customWidth="1"/>
    <col min="5" max="5" width="10" customWidth="1"/>
    <col min="6" max="7" width="34" customWidth="1"/>
  </cols>
  <sheetData>
    <row r="1" spans="1:7" x14ac:dyDescent="0.25">
      <c r="A1" s="2"/>
    </row>
    <row r="2" spans="1:7" ht="23.25" customHeight="1" x14ac:dyDescent="0.35">
      <c r="A2" s="3" t="s">
        <v>0</v>
      </c>
    </row>
    <row r="3" spans="1:7" x14ac:dyDescent="0.25">
      <c r="A3" s="4"/>
    </row>
    <row r="5" spans="1:7" ht="15" customHeight="1" x14ac:dyDescent="0.25">
      <c r="B5" s="5" t="s">
        <v>1</v>
      </c>
      <c r="C5" s="23" t="s">
        <v>2</v>
      </c>
      <c r="D5" s="23"/>
      <c r="E5" s="23"/>
    </row>
    <row r="6" spans="1:7" ht="15" customHeight="1" x14ac:dyDescent="0.25">
      <c r="B6" s="5" t="s">
        <v>3</v>
      </c>
      <c r="C6" s="23" t="s">
        <v>4</v>
      </c>
      <c r="D6" s="23"/>
      <c r="E6" s="23"/>
    </row>
    <row r="7" spans="1:7" ht="23.85" customHeight="1" x14ac:dyDescent="0.25">
      <c r="B7" s="5" t="s">
        <v>5</v>
      </c>
      <c r="C7" s="23" t="s">
        <v>6</v>
      </c>
      <c r="D7" s="23"/>
      <c r="E7" s="23"/>
    </row>
    <row r="8" spans="1:7" ht="15" customHeight="1" x14ac:dyDescent="0.25">
      <c r="B8" s="5" t="s">
        <v>7</v>
      </c>
      <c r="C8" s="23" t="s">
        <v>8</v>
      </c>
      <c r="D8" s="23"/>
      <c r="E8" s="23"/>
    </row>
    <row r="10" spans="1:7" ht="27.75" customHeight="1" x14ac:dyDescent="0.25">
      <c r="A10" s="21"/>
      <c r="B10" s="21"/>
      <c r="C10" s="21"/>
      <c r="D10" s="21"/>
      <c r="E10" s="21"/>
      <c r="F10" s="21"/>
      <c r="G10" s="21"/>
    </row>
    <row r="11" spans="1:7" ht="30" customHeight="1" x14ac:dyDescent="0.25">
      <c r="A11" s="22"/>
      <c r="B11" s="22"/>
      <c r="C11" s="22"/>
      <c r="D11" s="22"/>
      <c r="E11" s="22"/>
      <c r="F11" s="22"/>
      <c r="G11" s="22"/>
    </row>
    <row r="12" spans="1:7" ht="31.5" customHeight="1" x14ac:dyDescent="0.25">
      <c r="A12" s="6" t="s">
        <v>9</v>
      </c>
      <c r="B12" s="7" t="s">
        <v>10</v>
      </c>
      <c r="C12" s="7" t="s">
        <v>11</v>
      </c>
      <c r="D12" s="6" t="s">
        <v>12</v>
      </c>
      <c r="E12" s="6" t="s">
        <v>13</v>
      </c>
      <c r="F12" s="7" t="s">
        <v>14</v>
      </c>
      <c r="G12" s="7" t="s">
        <v>15</v>
      </c>
    </row>
    <row r="13" spans="1:7" ht="150" customHeight="1" x14ac:dyDescent="0.25">
      <c r="A13" s="14">
        <v>1</v>
      </c>
      <c r="B13" s="15" t="s">
        <v>16</v>
      </c>
      <c r="C13" s="13" t="s">
        <v>17</v>
      </c>
      <c r="D13" s="14" t="s">
        <v>18</v>
      </c>
      <c r="E13" s="16">
        <f t="shared" ref="E13:E21" si="0">IF(D13="S",1,IF(D13="P",0.5,IF(D13="N",0,"")))</f>
        <v>1</v>
      </c>
      <c r="F13" s="17" t="s">
        <v>19</v>
      </c>
      <c r="G13" s="17" t="s">
        <v>20</v>
      </c>
    </row>
    <row r="14" spans="1:7" ht="150" customHeight="1" x14ac:dyDescent="0.25">
      <c r="A14" s="14">
        <v>2</v>
      </c>
      <c r="B14" s="15" t="s">
        <v>21</v>
      </c>
      <c r="C14" s="13" t="s">
        <v>22</v>
      </c>
      <c r="D14" s="14" t="s">
        <v>18</v>
      </c>
      <c r="E14" s="16">
        <f t="shared" si="0"/>
        <v>1</v>
      </c>
      <c r="F14" s="17" t="s">
        <v>23</v>
      </c>
      <c r="G14" s="17" t="s">
        <v>24</v>
      </c>
    </row>
    <row r="15" spans="1:7" ht="150" customHeight="1" x14ac:dyDescent="0.25">
      <c r="A15" s="14">
        <v>3</v>
      </c>
      <c r="B15" s="15" t="s">
        <v>25</v>
      </c>
      <c r="C15" s="13" t="s">
        <v>26</v>
      </c>
      <c r="D15" s="14" t="s">
        <v>18</v>
      </c>
      <c r="E15" s="16">
        <f t="shared" si="0"/>
        <v>1</v>
      </c>
      <c r="F15" s="17" t="s">
        <v>27</v>
      </c>
      <c r="G15" s="17" t="s">
        <v>28</v>
      </c>
    </row>
    <row r="16" spans="1:7" ht="150" customHeight="1" x14ac:dyDescent="0.25">
      <c r="A16" s="14">
        <v>4</v>
      </c>
      <c r="B16" s="15" t="s">
        <v>29</v>
      </c>
      <c r="C16" s="13" t="s">
        <v>30</v>
      </c>
      <c r="D16" s="14" t="s">
        <v>18</v>
      </c>
      <c r="E16" s="16">
        <f t="shared" si="0"/>
        <v>1</v>
      </c>
      <c r="F16" s="17" t="s">
        <v>31</v>
      </c>
      <c r="G16" s="17" t="s">
        <v>32</v>
      </c>
    </row>
    <row r="17" spans="1:7" ht="150" customHeight="1" x14ac:dyDescent="0.25">
      <c r="A17" s="14">
        <v>5</v>
      </c>
      <c r="B17" s="15" t="s">
        <v>33</v>
      </c>
      <c r="C17" s="13" t="s">
        <v>34</v>
      </c>
      <c r="D17" s="14" t="s">
        <v>35</v>
      </c>
      <c r="E17" s="16">
        <f t="shared" si="0"/>
        <v>0.5</v>
      </c>
      <c r="F17" s="17" t="s">
        <v>36</v>
      </c>
      <c r="G17" s="17" t="s">
        <v>37</v>
      </c>
    </row>
    <row r="18" spans="1:7" ht="150" customHeight="1" x14ac:dyDescent="0.25">
      <c r="A18" s="14">
        <v>6</v>
      </c>
      <c r="B18" s="15" t="s">
        <v>38</v>
      </c>
      <c r="C18" s="13" t="s">
        <v>39</v>
      </c>
      <c r="D18" s="14" t="s">
        <v>18</v>
      </c>
      <c r="E18" s="16">
        <f t="shared" si="0"/>
        <v>1</v>
      </c>
      <c r="F18" s="17" t="s">
        <v>40</v>
      </c>
      <c r="G18" s="17" t="s">
        <v>41</v>
      </c>
    </row>
    <row r="19" spans="1:7" ht="150" customHeight="1" x14ac:dyDescent="0.25">
      <c r="A19" s="14">
        <v>7</v>
      </c>
      <c r="B19" s="15" t="s">
        <v>42</v>
      </c>
      <c r="C19" s="13" t="s">
        <v>43</v>
      </c>
      <c r="D19" s="14" t="s">
        <v>18</v>
      </c>
      <c r="E19" s="16">
        <f t="shared" si="0"/>
        <v>1</v>
      </c>
      <c r="F19" s="17" t="s">
        <v>44</v>
      </c>
      <c r="G19" s="17" t="s">
        <v>45</v>
      </c>
    </row>
    <row r="20" spans="1:7" ht="150" customHeight="1" x14ac:dyDescent="0.25">
      <c r="A20" s="14">
        <v>8</v>
      </c>
      <c r="B20" s="15" t="s">
        <v>46</v>
      </c>
      <c r="C20" s="13" t="s">
        <v>47</v>
      </c>
      <c r="D20" s="14" t="s">
        <v>35</v>
      </c>
      <c r="E20" s="16">
        <f t="shared" si="0"/>
        <v>0.5</v>
      </c>
      <c r="F20" s="17" t="s">
        <v>48</v>
      </c>
      <c r="G20" s="17" t="s">
        <v>49</v>
      </c>
    </row>
    <row r="21" spans="1:7" ht="150" customHeight="1" x14ac:dyDescent="0.25">
      <c r="A21" s="14">
        <v>9</v>
      </c>
      <c r="B21" s="15" t="s">
        <v>50</v>
      </c>
      <c r="C21" s="13" t="s">
        <v>51</v>
      </c>
      <c r="D21" s="14" t="s">
        <v>35</v>
      </c>
      <c r="E21" s="16">
        <f t="shared" si="0"/>
        <v>0.5</v>
      </c>
      <c r="F21" s="17" t="s">
        <v>52</v>
      </c>
      <c r="G21" s="17" t="s">
        <v>53</v>
      </c>
    </row>
    <row r="23" spans="1:7" ht="15.75" customHeight="1" x14ac:dyDescent="0.25">
      <c r="B23" s="8" t="s">
        <v>54</v>
      </c>
    </row>
    <row r="24" spans="1:7" ht="19.5" customHeight="1" x14ac:dyDescent="0.25">
      <c r="B24" s="18" t="s">
        <v>55</v>
      </c>
      <c r="C24" s="18"/>
      <c r="D24" s="18"/>
      <c r="E24" s="9">
        <f>COUNTIF(D13:D21,"S")</f>
        <v>6</v>
      </c>
    </row>
    <row r="25" spans="1:7" ht="19.5" customHeight="1" x14ac:dyDescent="0.25">
      <c r="B25" s="18" t="s">
        <v>56</v>
      </c>
      <c r="C25" s="18"/>
      <c r="D25" s="18"/>
      <c r="E25" s="9">
        <f>COUNTIF(D13:D21,"P")</f>
        <v>3</v>
      </c>
    </row>
    <row r="26" spans="1:7" ht="19.5" customHeight="1" x14ac:dyDescent="0.25">
      <c r="B26" s="18" t="s">
        <v>57</v>
      </c>
      <c r="C26" s="18"/>
      <c r="D26" s="18"/>
      <c r="E26" s="9">
        <f>COUNTIF(D13:D21,"N")</f>
        <v>0</v>
      </c>
    </row>
    <row r="27" spans="1:7" ht="19.5" customHeight="1" x14ac:dyDescent="0.25">
      <c r="B27" s="18" t="s">
        <v>58</v>
      </c>
      <c r="C27" s="18"/>
      <c r="D27" s="18"/>
      <c r="E27" s="9">
        <f>9-COUNTA(D13:D21)</f>
        <v>0</v>
      </c>
    </row>
    <row r="28" spans="1:7" ht="19.5" customHeight="1" x14ac:dyDescent="0.25">
      <c r="B28" s="19" t="s">
        <v>59</v>
      </c>
      <c r="C28" s="19"/>
      <c r="D28" s="19"/>
      <c r="E28" s="10">
        <f>SUM(E13:E21)</f>
        <v>7.5</v>
      </c>
      <c r="G28" s="11" t="s">
        <v>60</v>
      </c>
    </row>
    <row r="29" spans="1:7" ht="19.5" customHeight="1" x14ac:dyDescent="0.25">
      <c r="B29" s="19" t="s">
        <v>61</v>
      </c>
      <c r="C29" s="19"/>
      <c r="D29" s="19"/>
      <c r="E29" s="12">
        <f>E28/9</f>
        <v>0.83333333333333337</v>
      </c>
    </row>
    <row r="30" spans="1:7" ht="19.5" customHeight="1" x14ac:dyDescent="0.25">
      <c r="B30" s="19" t="s">
        <v>62</v>
      </c>
      <c r="C30" s="19"/>
      <c r="D30" s="19"/>
      <c r="E30" s="20" t="str">
        <f>IF(E27&gt;0,"Evaluación incompleta",IF(E29&gt;=0.8,"Alta",IF(E29&gt;=0.5,"Media","Baja")))</f>
        <v>Alta</v>
      </c>
      <c r="F30" s="20"/>
      <c r="G30" s="1"/>
    </row>
  </sheetData>
  <mergeCells count="14">
    <mergeCell ref="C5:E5"/>
    <mergeCell ref="C6:E6"/>
    <mergeCell ref="C7:E7"/>
    <mergeCell ref="C8:E8"/>
    <mergeCell ref="A10:G10"/>
    <mergeCell ref="A11:G11"/>
    <mergeCell ref="B24:D24"/>
    <mergeCell ref="B25:D25"/>
    <mergeCell ref="B26:D26"/>
    <mergeCell ref="B27:D27"/>
    <mergeCell ref="B28:D28"/>
    <mergeCell ref="B29:D29"/>
    <mergeCell ref="B30:D30"/>
    <mergeCell ref="E30:F30"/>
  </mergeCells>
  <conditionalFormatting sqref="D13:D21">
    <cfRule type="cellIs" dxfId="2" priority="2" operator="equal">
      <formula>"S"</formula>
    </cfRule>
    <cfRule type="cellIs" dxfId="1" priority="3" operator="equal">
      <formula>"P"</formula>
    </cfRule>
    <cfRule type="cellIs" dxfId="0" priority="4" operator="equal">
      <formula>"N"</formula>
    </cfRule>
  </conditionalFormatting>
  <dataValidations count="1">
    <dataValidation type="list" allowBlank="1" showErrorMessage="1" errorTitle="Valor no válido" error="Escribe S, P o N." sqref="D13:D21" xr:uid="{00000000-0002-0000-0000-000000000000}">
      <formula1>"S,P,N"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de verificación</vt:lpstr>
      <vt:lpstr>'Lista de verificación'!Títulos_a_imprimir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Henry Francisco Sánchez Parra</cp:lastModifiedBy>
  <cp:revision>0</cp:revision>
  <dcterms:created xsi:type="dcterms:W3CDTF">2026-10-11T21:28:17Z</dcterms:created>
  <dcterms:modified xsi:type="dcterms:W3CDTF">2026-10-15T04:40:33Z</dcterms:modified>
  <dc:language>en-US</dc:language>
</cp:coreProperties>
</file>